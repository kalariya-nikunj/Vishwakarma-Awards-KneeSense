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 sheetId="1" state="visible" r:id="rId1"/>
    <sheet xmlns:r="http://schemas.openxmlformats.org/officeDocument/2006/relationships" name="Fabrication" sheetId="2" state="visible" r:id="rId2"/>
    <sheet xmlns:r="http://schemas.openxmlformats.org/officeDocument/2006/relationships" name="README" sheetId="3" state="visible" r:id="rId3"/>
  </sheets>
  <definedNames>
    <definedName name="_xlnm._FilterDatabase" localSheetId="0" hidden="1">'BOM'!$A$4:$L$12</definedName>
    <definedName name="_xlnm._FilterDatabase" localSheetId="1" hidden="1">'Fabrication'!$A$4:$G$9</definedName>
  </definedNames>
  <calcPr calcId="124519" calcMode="auto" fullCalcOnLoad="1" forceFullCalc="1"/>
</workbook>
</file>

<file path=xl/styles.xml><?xml version="1.0" encoding="utf-8"?>
<styleSheet xmlns="http://schemas.openxmlformats.org/spreadsheetml/2006/main">
  <numFmts count="1">
    <numFmt numFmtId="164" formatCode="&quot;₹&quot;#,##0.00"/>
  </numFmts>
  <fonts count="7">
    <font>
      <name val="Calibri"/>
      <family val="2"/>
      <color theme="1"/>
      <sz val="11"/>
      <scheme val="minor"/>
    </font>
    <font>
      <name val="Aptos Display"/>
      <b val="1"/>
      <color rgb="00FFFFFF"/>
      <sz val="18"/>
    </font>
    <font>
      <i val="1"/>
      <color rgb="00666666"/>
      <sz val="10"/>
    </font>
    <font>
      <b val="1"/>
      <color rgb="00FFFFFF"/>
    </font>
    <font>
      <b val="1"/>
    </font>
    <font>
      <b val="1"/>
      <color rgb="00FFFFFF"/>
      <sz val="16"/>
    </font>
    <font>
      <b val="1"/>
      <color rgb="0017365D"/>
    </font>
  </fonts>
  <fills count="7">
    <fill>
      <patternFill/>
    </fill>
    <fill>
      <patternFill patternType="gray125"/>
    </fill>
    <fill>
      <patternFill patternType="solid">
        <fgColor rgb="0017365D"/>
      </patternFill>
    </fill>
    <fill>
      <patternFill patternType="solid">
        <fgColor rgb="00FFF2CC"/>
      </patternFill>
    </fill>
    <fill>
      <patternFill patternType="solid">
        <fgColor rgb="00E2F0D9"/>
      </patternFill>
    </fill>
    <fill>
      <patternFill patternType="solid">
        <fgColor rgb="00F4F8FB"/>
      </patternFill>
    </fill>
    <fill>
      <patternFill patternType="solid">
        <fgColor rgb="00D9EAF7"/>
      </patternFill>
    </fill>
  </fills>
  <borders count="3">
    <border>
      <left/>
      <right/>
      <top/>
      <bottom/>
      <diagonal/>
    </border>
    <border>
      <bottom style="thin">
        <color rgb="00D9E1F2"/>
      </bottom>
    </border>
    <border>
      <top style="medium">
        <color rgb="0017365D"/>
      </top>
    </border>
  </borders>
  <cellStyleXfs count="1">
    <xf numFmtId="0" fontId="0" fillId="0" borderId="0"/>
  </cellStyleXfs>
  <cellXfs count="22">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164" fontId="0" fillId="3" borderId="1" applyAlignment="1" pivotButton="0" quotePrefix="0" xfId="0">
      <alignment vertical="top" wrapText="1"/>
    </xf>
    <xf numFmtId="164" fontId="0" fillId="0" borderId="1" applyAlignment="1" pivotButton="0" quotePrefix="0" xfId="0">
      <alignment vertical="top" wrapText="1"/>
    </xf>
    <xf numFmtId="0" fontId="0" fillId="5" borderId="1" applyAlignment="1" pivotButton="0" quotePrefix="0" xfId="0">
      <alignment vertical="top" wrapText="1"/>
    </xf>
    <xf numFmtId="164" fontId="0" fillId="5" borderId="1" applyAlignment="1" pivotButton="0" quotePrefix="0" xfId="0">
      <alignment vertical="top" wrapText="1"/>
    </xf>
    <xf numFmtId="0" fontId="3" fillId="2" borderId="2" pivotButton="0" quotePrefix="0" xfId="0"/>
    <xf numFmtId="164" fontId="3" fillId="2" borderId="2" pivotButton="0" quotePrefix="0" xfId="0"/>
    <xf numFmtId="0" fontId="4" fillId="0" borderId="0" pivotButton="0" quotePrefix="0" xfId="0"/>
    <xf numFmtId="0" fontId="0" fillId="0" borderId="0" applyAlignment="1" pivotButton="0" quotePrefix="0" xfId="0">
      <alignment vertical="top" wrapText="1"/>
    </xf>
    <xf numFmtId="0" fontId="5" fillId="2" borderId="0" applyAlignment="1" pivotButton="0" quotePrefix="0" xfId="0">
      <alignment vertical="center"/>
    </xf>
    <xf numFmtId="0" fontId="2" fillId="0" borderId="0" applyAlignment="1" pivotButton="0" quotePrefix="0" xfId="0">
      <alignment wrapText="1"/>
    </xf>
    <xf numFmtId="0" fontId="3" fillId="2" borderId="0" applyAlignment="1" pivotButton="0" quotePrefix="0" xfId="0">
      <alignment vertical="center" wrapText="1"/>
    </xf>
    <xf numFmtId="0" fontId="6" fillId="6" borderId="1" applyAlignment="1" pivotButton="0" quotePrefix="0" xfId="0">
      <alignment vertical="top" wrapText="1"/>
    </xf>
    <xf numFmtId="0" fontId="3" fillId="2" borderId="0" pivotButton="0" quotePrefix="0" xfId="0"/>
    <xf numFmtId="164" fontId="3" fillId="2" borderId="0" pivotButton="0" quotePrefix="0" xfId="0"/>
    <xf numFmtId="0" fontId="6"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KneeSenseBOM" displayName="KneeSenseBOM" ref="A4:L12" headerRowCount="1">
  <autoFilter ref="A4:L12"/>
  <tableColumns count="12">
    <tableColumn id="1" name="Item ID"/>
    <tableColumn id="2" name="Category"/>
    <tableColumn id="3" name="Component / Material"/>
    <tableColumn id="4" name="Specification / Part"/>
    <tableColumn id="5" name="Qty per Node"/>
    <tableColumn id="6" name="Qty for 2 Nodes"/>
    <tableColumn id="7" name="Unit"/>
    <tableColumn id="8" name="Purpose / Notes"/>
    <tableColumn id="9" name="Unit Cost (₹)"/>
    <tableColumn id="10" name="Total Cost (₹)"/>
    <tableColumn id="11" name="Supplier / Link"/>
    <tableColumn id="12" name="Status"/>
  </tableColumns>
  <tableStyleInfo name="TableStyleMedium2" showFirstColumn="0" showLastColumn="0" showRowStripes="1" showColumnStripes="0"/>
</table>
</file>

<file path=xl/tables/table2.xml><?xml version="1.0" encoding="utf-8"?>
<table xmlns="http://schemas.openxmlformats.org/spreadsheetml/2006/main" id="2" name="FabricationMaterials" displayName="FabricationMaterials" ref="A4:G9" headerRowCount="1">
  <autoFilter ref="A4:G9"/>
  <tableColumns count="7">
    <tableColumn id="1" name="Item ID"/>
    <tableColumn id="2" name="Item"/>
    <tableColumn id="3" name="Specification"/>
    <tableColumn id="4" name="Purpose"/>
    <tableColumn id="5" name="Estimated Quantity"/>
    <tableColumn id="6" name="Unit Cost (₹)"/>
    <tableColumn id="7" name="Note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L15"/>
  <sheetViews>
    <sheetView showGridLines="0" workbookViewId="0">
      <pane ySplit="4" topLeftCell="A5" activePane="bottomLeft" state="frozen"/>
      <selection pane="bottomLeft" activeCell="A1" sqref="A1"/>
    </sheetView>
  </sheetViews>
  <sheetFormatPr baseColWidth="8" defaultRowHeight="15"/>
  <cols>
    <col width="12" customWidth="1" min="1" max="1"/>
    <col width="16" customWidth="1" min="2" max="2"/>
    <col width="25" customWidth="1" min="3" max="3"/>
    <col width="38" customWidth="1" min="4" max="4"/>
    <col width="13" customWidth="1" min="5" max="5"/>
    <col width="14" customWidth="1" min="6" max="6"/>
    <col width="10" customWidth="1" min="7" max="7"/>
    <col width="48" customWidth="1" min="8" max="8"/>
    <col width="15" customWidth="1" min="9" max="9"/>
    <col width="16" customWidth="1" min="10" max="10"/>
    <col width="30" customWidth="1" min="11" max="11"/>
    <col width="22" customWidth="1" min="12" max="12"/>
  </cols>
  <sheetData>
    <row r="1" ht="32" customHeight="1">
      <c r="A1" s="1" t="inlineStr">
        <is>
          <t>KneeSense — Bill of Materials (BOM)</t>
        </is>
      </c>
    </row>
    <row r="2" ht="30" customHeight="1">
      <c r="A2" s="2" t="inlineStr">
        <is>
          <t>Portable knee-movement assessment system | Estimated India retail prices (₹), checked Oct 2026; confirm before purchase</t>
        </is>
      </c>
    </row>
    <row r="4" ht="34" customHeight="1">
      <c r="A4" s="3" t="inlineStr">
        <is>
          <t>Item ID</t>
        </is>
      </c>
      <c r="B4" s="3" t="inlineStr">
        <is>
          <t>Category</t>
        </is>
      </c>
      <c r="C4" s="3" t="inlineStr">
        <is>
          <t>Component / Material</t>
        </is>
      </c>
      <c r="D4" s="3" t="inlineStr">
        <is>
          <t>Specification / Part</t>
        </is>
      </c>
      <c r="E4" s="3" t="inlineStr">
        <is>
          <t>Qty per Node</t>
        </is>
      </c>
      <c r="F4" s="3" t="inlineStr">
        <is>
          <t>Qty for 2 Nodes</t>
        </is>
      </c>
      <c r="G4" s="3" t="inlineStr">
        <is>
          <t>Unit</t>
        </is>
      </c>
      <c r="H4" s="3" t="inlineStr">
        <is>
          <t>Purpose / Notes</t>
        </is>
      </c>
      <c r="I4" s="3" t="inlineStr">
        <is>
          <t>Unit Cost (₹)</t>
        </is>
      </c>
      <c r="J4" s="3" t="inlineStr">
        <is>
          <t>Total Cost (₹)</t>
        </is>
      </c>
      <c r="K4" s="3" t="inlineStr">
        <is>
          <t>Supplier / Link</t>
        </is>
      </c>
      <c r="L4" s="3" t="inlineStr">
        <is>
          <t>Status</t>
        </is>
      </c>
    </row>
    <row r="5">
      <c r="A5" s="4" t="inlineStr">
        <is>
          <t>KS-001</t>
        </is>
      </c>
      <c r="B5" s="4" t="inlineStr">
        <is>
          <t>Electronics</t>
        </is>
      </c>
      <c r="C5" s="4" t="inlineStr">
        <is>
          <t>Microcontroller (MCU)</t>
        </is>
      </c>
      <c r="D5" s="4" t="inlineStr">
        <is>
          <t>Seeed XIAO nRF52840 Sense</t>
        </is>
      </c>
      <c r="E5" s="5" t="n">
        <v>1</v>
      </c>
      <c r="F5" s="6" t="n">
        <v>2</v>
      </c>
      <c r="G5" s="4" t="inlineStr">
        <is>
          <t>piece</t>
        </is>
      </c>
      <c r="H5" s="4" t="inlineStr">
        <is>
          <t>Main MCU and Bluetooth Low Energy (BLE) communication</t>
        </is>
      </c>
      <c r="I5" s="7" t="n">
        <v>2300</v>
      </c>
      <c r="J5" s="8">
        <f>IF(OR(E5="",I5=""),"",F5*I5)</f>
        <v/>
      </c>
      <c r="K5" s="4" t="inlineStr"/>
      <c r="L5" s="4" t="inlineStr">
        <is>
          <t>Selected in project deck</t>
        </is>
      </c>
    </row>
    <row r="6">
      <c r="A6" s="9" t="inlineStr">
        <is>
          <t>KS-002</t>
        </is>
      </c>
      <c r="B6" s="9" t="inlineStr">
        <is>
          <t>Electronics</t>
        </is>
      </c>
      <c r="C6" s="9" t="inlineStr">
        <is>
          <t>IMU Sensor</t>
        </is>
      </c>
      <c r="D6" s="9" t="inlineStr">
        <is>
          <t>Integrated 6-axis IMU (accelerometer + gyroscope)</t>
        </is>
      </c>
      <c r="E6" s="5" t="n">
        <v>1</v>
      </c>
      <c r="F6" s="6" t="n">
        <v>2</v>
      </c>
      <c r="G6" s="9" t="inlineStr">
        <is>
          <t>piece</t>
        </is>
      </c>
      <c r="H6" s="9" t="inlineStr">
        <is>
          <t>Movement sensing; the deck also lists magnetometer in the BOM description</t>
        </is>
      </c>
      <c r="I6" s="7" t="n">
        <v>0</v>
      </c>
      <c r="J6" s="10">
        <f>IF(OR(E6="",I6=""),"",F6*I6)</f>
        <v/>
      </c>
      <c r="K6" s="9" t="inlineStr"/>
      <c r="L6" s="9" t="inlineStr">
        <is>
          <t>Selected in project deck</t>
        </is>
      </c>
    </row>
    <row r="7">
      <c r="A7" s="4" t="inlineStr">
        <is>
          <t>KS-003</t>
        </is>
      </c>
      <c r="B7" s="4" t="inlineStr">
        <is>
          <t>Electronics</t>
        </is>
      </c>
      <c r="C7" s="4" t="inlineStr">
        <is>
          <t>Micro SD Card Module</t>
        </is>
      </c>
      <c r="D7" s="4" t="inlineStr">
        <is>
          <t>Micro SD module</t>
        </is>
      </c>
      <c r="E7" s="5" t="n">
        <v>1</v>
      </c>
      <c r="F7" s="6" t="n">
        <v>2</v>
      </c>
      <c r="G7" s="4" t="inlineStr">
        <is>
          <t>piece</t>
        </is>
      </c>
      <c r="H7" s="4" t="inlineStr">
        <is>
          <t>Local data storage / gait data</t>
        </is>
      </c>
      <c r="I7" s="7" t="n">
        <v>89</v>
      </c>
      <c r="J7" s="8">
        <f>IF(OR(E7="",I7=""),"",F7*I7)</f>
        <v/>
      </c>
      <c r="K7" s="4" t="inlineStr"/>
      <c r="L7" s="4" t="inlineStr">
        <is>
          <t>Listed in project deck</t>
        </is>
      </c>
    </row>
    <row r="8">
      <c r="A8" s="9" t="inlineStr">
        <is>
          <t>KS-004</t>
        </is>
      </c>
      <c r="B8" s="9" t="inlineStr">
        <is>
          <t>Electronics</t>
        </is>
      </c>
      <c r="C8" s="9" t="inlineStr">
        <is>
          <t>Button (Tactile Switch)</t>
        </is>
      </c>
      <c r="D8" s="9" t="inlineStr">
        <is>
          <t>Momentary push button</t>
        </is>
      </c>
      <c r="E8" s="5" t="n">
        <v>1</v>
      </c>
      <c r="F8" s="6" t="n">
        <v>2</v>
      </c>
      <c r="G8" s="9" t="inlineStr">
        <is>
          <t>piece</t>
        </is>
      </c>
      <c r="H8" s="9" t="inlineStr">
        <is>
          <t>User input / start-stop recording</t>
        </is>
      </c>
      <c r="I8" s="7" t="n">
        <v>4</v>
      </c>
      <c r="J8" s="10">
        <f>IF(OR(E8="",I8=""),"",F8*I8)</f>
        <v/>
      </c>
      <c r="K8" s="9" t="inlineStr"/>
      <c r="L8" s="9" t="inlineStr">
        <is>
          <t>Listed in project deck</t>
        </is>
      </c>
    </row>
    <row r="9">
      <c r="A9" s="4" t="inlineStr">
        <is>
          <t>KS-005</t>
        </is>
      </c>
      <c r="B9" s="4" t="inlineStr">
        <is>
          <t>Power</t>
        </is>
      </c>
      <c r="C9" s="4" t="inlineStr">
        <is>
          <t>Battery</t>
        </is>
      </c>
      <c r="D9" s="4" t="inlineStr">
        <is>
          <t>Li-Po, 3.7 V, approximately 500 mAh</t>
        </is>
      </c>
      <c r="E9" s="5" t="n">
        <v>1</v>
      </c>
      <c r="F9" s="6" t="n">
        <v>2</v>
      </c>
      <c r="G9" s="4" t="inlineStr">
        <is>
          <t>piece</t>
        </is>
      </c>
      <c r="H9" s="4" t="inlineStr">
        <is>
          <t>Portable power supply</t>
        </is>
      </c>
      <c r="I9" s="7" t="n">
        <v>177</v>
      </c>
      <c r="J9" s="8">
        <f>IF(OR(E9="",I9=""),"",F9*I9)</f>
        <v/>
      </c>
      <c r="K9" s="4" t="inlineStr"/>
      <c r="L9" s="4" t="inlineStr">
        <is>
          <t>Listed in project deck</t>
        </is>
      </c>
    </row>
    <row r="10">
      <c r="A10" s="9" t="inlineStr">
        <is>
          <t>KS-006</t>
        </is>
      </c>
      <c r="B10" s="9" t="inlineStr">
        <is>
          <t>Power</t>
        </is>
      </c>
      <c r="C10" s="9" t="inlineStr">
        <is>
          <t>Voltage Regulator</t>
        </is>
      </c>
      <c r="D10" s="9" t="inlineStr">
        <is>
          <t>3.3 V input/output; optional</t>
        </is>
      </c>
      <c r="E10" s="5" t="n">
        <v>1</v>
      </c>
      <c r="F10" s="6" t="n">
        <v>2</v>
      </c>
      <c r="G10" s="9" t="inlineStr">
        <is>
          <t>piece</t>
        </is>
      </c>
      <c r="H10" s="9" t="inlineStr">
        <is>
          <t>Stable power for MCU and sensors; confirm whether needed for selected battery/board</t>
        </is>
      </c>
      <c r="I10" s="7" t="n">
        <v>40</v>
      </c>
      <c r="J10" s="10">
        <f>IF(OR(E10="",I10=""),"",F10*I10)</f>
        <v/>
      </c>
      <c r="K10" s="9" t="inlineStr"/>
      <c r="L10" s="9" t="inlineStr">
        <is>
          <t>Optional / verify</t>
        </is>
      </c>
    </row>
    <row r="11">
      <c r="A11" s="4" t="inlineStr">
        <is>
          <t>KS-007</t>
        </is>
      </c>
      <c r="B11" s="4" t="inlineStr">
        <is>
          <t>Connections</t>
        </is>
      </c>
      <c r="C11" s="4" t="inlineStr">
        <is>
          <t>Connectors / Headers</t>
        </is>
      </c>
      <c r="D11" s="4" t="inlineStr">
        <is>
          <t>Pin headers, JST connectors as required</t>
        </is>
      </c>
      <c r="E11" s="5" t="n"/>
      <c r="F11" s="6" t="n"/>
      <c r="G11" s="4" t="inlineStr">
        <is>
          <t>lot</t>
        </is>
      </c>
      <c r="H11" s="4" t="inlineStr">
        <is>
          <t>Sensor and battery connections; quantities depend on PCB layout</t>
        </is>
      </c>
      <c r="I11" s="7" t="n">
        <v>100</v>
      </c>
      <c r="J11" s="8" t="n">
        <v>100</v>
      </c>
      <c r="K11" s="4" t="inlineStr"/>
      <c r="L11" s="4" t="inlineStr">
        <is>
          <t>As required</t>
        </is>
      </c>
    </row>
    <row r="12">
      <c r="A12" s="9" t="inlineStr">
        <is>
          <t>KS-008</t>
        </is>
      </c>
      <c r="B12" s="9" t="inlineStr">
        <is>
          <t>Support</t>
        </is>
      </c>
      <c r="C12" s="9" t="inlineStr">
        <is>
          <t>Miscellaneous Electronics</t>
        </is>
      </c>
      <c r="D12" s="9" t="inlineStr">
        <is>
          <t>Resistors, capacitors, LEDs (optional)</t>
        </is>
      </c>
      <c r="E12" s="5" t="n"/>
      <c r="F12" s="6" t="n"/>
      <c r="G12" s="9" t="inlineStr">
        <is>
          <t>lot</t>
        </is>
      </c>
      <c r="H12" s="9" t="inlineStr">
        <is>
          <t>Supporting circuitry and indicators</t>
        </is>
      </c>
      <c r="I12" s="7" t="n">
        <v>100</v>
      </c>
      <c r="J12" s="10" t="n">
        <v>100</v>
      </c>
      <c r="K12" s="9" t="inlineStr"/>
      <c r="L12" s="9" t="inlineStr">
        <is>
          <t>Optional / as required</t>
        </is>
      </c>
    </row>
    <row r="13">
      <c r="I13" s="11" t="inlineStr">
        <is>
          <t>Estimated Total</t>
        </is>
      </c>
      <c r="J13" s="12">
        <f>SUM(J5:J12)</f>
        <v/>
      </c>
    </row>
    <row r="15" ht="32" customHeight="1">
      <c r="A15" s="13" t="inlineStr">
        <is>
          <t>Quantity note:</t>
        </is>
      </c>
      <c r="B15" s="14" t="inlineStr">
        <is>
          <t>The project deck describes two wearable IMU nodes (thigh + shank). Qty for 2 nodes is calculated for fixed per-node quantities; items marked 'as required' need final PCB/wiring confirmation.</t>
        </is>
      </c>
    </row>
  </sheetData>
  <autoFilter ref="A4:L12"/>
  <mergeCells count="3">
    <mergeCell ref="A2:L2"/>
    <mergeCell ref="B15:L15"/>
    <mergeCell ref="A1:L1"/>
  </mergeCells>
  <pageMargins left="0.75" right="0.75" top="1" bottom="1" header="0.5" footer="0.5"/>
  <pageSetup orientation="landscape" fitToHeight="0" fitToWidth="1"/>
  <headerFooter>
    <oddHeader/>
    <oddFooter>&amp;CKneeSense | BOM based on supplied project deck&amp;RPage &amp;P of &amp;N</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G11"/>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38" customWidth="1" min="3" max="3"/>
    <col width="32" customWidth="1" min="4" max="4"/>
    <col width="20" customWidth="1" min="5" max="5"/>
    <col width="16" customWidth="1" min="6" max="6"/>
    <col width="48" customWidth="1" min="7" max="7"/>
  </cols>
  <sheetData>
    <row r="1" ht="30" customHeight="1">
      <c r="A1" s="15" t="inlineStr">
        <is>
          <t>KneeSense — Fabrication &amp; Assembly Materials</t>
        </is>
      </c>
    </row>
    <row r="2">
      <c r="A2" s="16" t="inlineStr">
        <is>
          <t>Materials listed on page 9 of the supplied project deck. Quantities and costs were not specified in the source.</t>
        </is>
      </c>
    </row>
    <row r="4">
      <c r="A4" s="17" t="inlineStr">
        <is>
          <t>Item ID</t>
        </is>
      </c>
      <c r="B4" s="17" t="inlineStr">
        <is>
          <t>Item</t>
        </is>
      </c>
      <c r="C4" s="17" t="inlineStr">
        <is>
          <t>Specification</t>
        </is>
      </c>
      <c r="D4" s="17" t="inlineStr">
        <is>
          <t>Purpose</t>
        </is>
      </c>
      <c r="E4" s="17" t="inlineStr">
        <is>
          <t>Estimated Quantity</t>
        </is>
      </c>
      <c r="F4" s="17" t="inlineStr">
        <is>
          <t>Unit Cost (₹)</t>
        </is>
      </c>
      <c r="G4" s="17" t="inlineStr">
        <is>
          <t>Notes</t>
        </is>
      </c>
    </row>
    <row r="5">
      <c r="A5" s="4" t="inlineStr">
        <is>
          <t>KS-F01</t>
        </is>
      </c>
      <c r="B5" s="4" t="inlineStr">
        <is>
          <t>Copper Plate / PCB</t>
        </is>
      </c>
      <c r="C5" s="4" t="inlineStr">
        <is>
          <t>Custom PCB with copper layer</t>
        </is>
      </c>
      <c r="D5" s="4" t="inlineStr">
        <is>
          <t>Circuit board fabrication</t>
        </is>
      </c>
      <c r="E5" s="5" t="inlineStr"/>
      <c r="F5" s="7" t="n">
        <v>250</v>
      </c>
      <c r="G5" s="4" t="inlineStr">
        <is>
          <t>Budget estimate; PCB fabrication price depends on size and quantity</t>
        </is>
      </c>
    </row>
    <row r="6">
      <c r="A6" s="9" t="inlineStr">
        <is>
          <t>KS-F02</t>
        </is>
      </c>
      <c r="B6" s="9" t="inlineStr">
        <is>
          <t>Soldering Iron</t>
        </is>
      </c>
      <c r="C6" s="9" t="inlineStr">
        <is>
          <t>Temperature-controlled; approximately 25–60 W</t>
        </is>
      </c>
      <c r="D6" s="9" t="inlineStr">
        <is>
          <t>Soldering components</t>
        </is>
      </c>
      <c r="E6" s="5" t="inlineStr"/>
      <c r="F6" s="7" t="n">
        <v>500</v>
      </c>
      <c r="G6" s="9" t="inlineStr">
        <is>
          <t>Approximate shared tool cost; exclude if already available</t>
        </is>
      </c>
    </row>
    <row r="7">
      <c r="A7" s="4" t="inlineStr">
        <is>
          <t>KS-F03</t>
        </is>
      </c>
      <c r="B7" s="4" t="inlineStr">
        <is>
          <t>Solder Wire</t>
        </is>
      </c>
      <c r="C7" s="4" t="inlineStr">
        <is>
          <t>Lead-free solder wire, e.g. Sn-Ag-Cu</t>
        </is>
      </c>
      <c r="D7" s="4" t="inlineStr">
        <is>
          <t>Electrical connections</t>
        </is>
      </c>
      <c r="E7" s="5" t="inlineStr"/>
      <c r="F7" s="7" t="n">
        <v>150</v>
      </c>
      <c r="G7" s="4" t="inlineStr">
        <is>
          <t>Estimated solder wire spool</t>
        </is>
      </c>
    </row>
    <row r="8">
      <c r="A8" s="9" t="inlineStr">
        <is>
          <t>KS-F04</t>
        </is>
      </c>
      <c r="B8" s="9" t="inlineStr">
        <is>
          <t>Connecting Wire</t>
        </is>
      </c>
      <c r="C8" s="9" t="inlineStr">
        <is>
          <t>Jumper wires / hookup wire</t>
        </is>
      </c>
      <c r="D8" s="9" t="inlineStr">
        <is>
          <t>Interconnections between modules</t>
        </is>
      </c>
      <c r="E8" s="5" t="inlineStr"/>
      <c r="F8" s="7" t="n">
        <v>100</v>
      </c>
      <c r="G8" s="9" t="inlineStr">
        <is>
          <t>Estimated jumper/hookup wire allowance</t>
        </is>
      </c>
    </row>
    <row r="9">
      <c r="A9" s="4" t="inlineStr">
        <is>
          <t>KS-F05</t>
        </is>
      </c>
      <c r="B9" s="4" t="inlineStr">
        <is>
          <t>Miscellaneous Fabrication Supplies</t>
        </is>
      </c>
      <c r="C9" s="4" t="inlineStr">
        <is>
          <t>Flux, PCB drill (if needed), etc.</t>
        </is>
      </c>
      <c r="D9" s="4" t="inlineStr">
        <is>
          <t>Supporting fabrication</t>
        </is>
      </c>
      <c r="E9" s="5" t="inlineStr"/>
      <c r="F9" s="7" t="n">
        <v>150</v>
      </c>
      <c r="G9" s="4" t="inlineStr">
        <is>
          <t>Estimated consumables allowance</t>
        </is>
      </c>
    </row>
    <row r="11">
      <c r="E11" s="19" t="inlineStr">
        <is>
          <t>Estimated subtotal</t>
        </is>
      </c>
      <c r="F11" s="20">
        <f>SUM(F5:F9)</f>
        <v/>
      </c>
    </row>
  </sheetData>
  <autoFilter ref="A4:G9"/>
  <mergeCells count="2">
    <mergeCell ref="A2:G2"/>
    <mergeCell ref="A1:G1"/>
  </mergeCells>
  <pageMargins left="0.75" right="0.75" top="1" bottom="1" header="0.5" footer="0.5"/>
  <pageSetup fitToHeight="0" fitToWidth="1"/>
  <headerFooter>
    <oddHeader/>
    <oddFooter>&amp;CKneeSense | BOM based on supplied project deck&amp;RPage &amp;P of &amp;N</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12"/>
  <sheetViews>
    <sheetView showGridLines="0" workbookViewId="0">
      <selection activeCell="A1" sqref="A1"/>
    </sheetView>
  </sheetViews>
  <sheetFormatPr baseColWidth="8" defaultRowHeight="15"/>
  <cols>
    <col width="25" customWidth="1" min="1" max="1"/>
    <col width="105" customWidth="1" min="2" max="2"/>
  </cols>
  <sheetData>
    <row r="1" ht="30" customHeight="1">
      <c r="A1" s="15" t="inlineStr">
        <is>
          <t>KneeSense BOM — README</t>
        </is>
      </c>
    </row>
    <row r="3" ht="30" customHeight="1">
      <c r="A3" s="18" t="inlineStr">
        <is>
          <t>Project</t>
        </is>
      </c>
      <c r="B3" s="4" t="inlineStr">
        <is>
          <t>KneeSense — A Portable System for Knee-Movement Assessment and Longitudinal Monitoring Research</t>
        </is>
      </c>
    </row>
    <row r="4" ht="30" customHeight="1">
      <c r="A4" s="18" t="inlineStr">
        <is>
          <t>Application ID</t>
        </is>
      </c>
      <c r="B4" s="4" t="inlineStr">
        <is>
          <t>VK26-IITI-HT-0186</t>
        </is>
      </c>
    </row>
    <row r="5" ht="30" customHeight="1">
      <c r="A5" s="18" t="inlineStr">
        <is>
          <t>Source file</t>
        </is>
      </c>
      <c r="B5" s="4" t="inlineStr">
        <is>
          <t>Vishwakarma Round 2 (1).pdf, especially page 9: Electronics Schematics &amp; Bill of Materials</t>
        </is>
      </c>
    </row>
    <row r="6" ht="30" customHeight="1">
      <c r="A6" s="18" t="inlineStr">
        <is>
          <t>Node configuration</t>
        </is>
      </c>
      <c r="B6" s="4" t="inlineStr">
        <is>
          <t>Two wearable nodes: thigh IMU and shank IMU. The project deck selects Seeed XIAO nRF52840 Sense and targets BLE acquisition.</t>
        </is>
      </c>
    </row>
    <row r="7" ht="42" customHeight="1">
      <c r="A7" s="18" t="inlineStr">
        <is>
          <t>How to use</t>
        </is>
      </c>
      <c r="B7" s="4" t="inlineStr">
        <is>
          <t>Enter the purchase price in the yellow Unit Cost cells on the BOM sheet. Total Cost is calculated automatically for rows with fixed quantities.</t>
        </is>
      </c>
    </row>
    <row r="8" ht="42" customHeight="1">
      <c r="A8" s="18" t="inlineStr">
        <is>
          <t>Quantity assumptions</t>
        </is>
      </c>
      <c r="B8" s="4" t="inlineStr">
        <is>
          <t>Fixed quantities shown as per-node quantities from the source BOM; quantities for two nodes are calculated by multiplying by 2. Source did not specify quantities for connectors, headers, and miscellaneous components.</t>
        </is>
      </c>
    </row>
    <row r="9" ht="42" customHeight="1">
      <c r="A9" s="18" t="inlineStr">
        <is>
          <t>Cost assumptions</t>
        </is>
      </c>
      <c r="B9" s="4" t="inlineStr">
        <is>
          <t>The supplied PDF does not state prices or supplier links. Cost and supplier fields are intentionally blank for you to fill using your actual purchases/quotes.</t>
        </is>
      </c>
    </row>
    <row r="10" ht="42" customHeight="1">
      <c r="A10" s="18" t="inlineStr">
        <is>
          <t>Verification needed</t>
        </is>
      </c>
      <c r="B10" s="4" t="inlineStr">
        <is>
          <t>The source deck lists a separate 6-axis IMU sensor while the selected XIAO nRF52840 Sense has an integrated IMU. Confirm whether the separate sensor is needed before ordering to avoid duplicate purchasing.</t>
        </is>
      </c>
    </row>
    <row r="11" ht="42" customHeight="1">
      <c r="A11" s="18" t="inlineStr">
        <is>
          <t>Version control</t>
        </is>
      </c>
      <c r="B11" s="4" t="inlineStr">
        <is>
          <t>Keep this file in the GitHub repository alongside the hardware design files. Update quantities and costs when the PCB design and final assembly are confirmed.</t>
        </is>
      </c>
    </row>
    <row r="12" ht="60" customHeight="1">
      <c r="A12" s="21" t="inlineStr">
        <is>
          <t>Price note</t>
        </is>
      </c>
      <c r="B12" s="14" t="inlineStr">
        <is>
          <t>Prices are budgetary estimates in INR based on publicly listed India component prices checked in Oct 2026. Actual prices vary by seller, GST, shipping, quantity, and stock. The selected XIAO nRF52840 Sense includes an onboard 6-axis IMU, so the separate IMU row is priced at ₹0 pending confirmation; do not purchase a duplicate sensor unless the final design requires it.</t>
        </is>
      </c>
    </row>
  </sheetData>
  <mergeCells count="1">
    <mergeCell ref="A1:B1"/>
  </mergeCells>
  <pageMargins left="0.75" right="0.75" top="1" bottom="1" header="0.5" footer="0.5"/>
  <pageSetup fitToHeight="0" fitToWidth="1"/>
  <headerFooter>
    <oddHeader/>
    <oddFooter>&amp;CKneeSense | BOM based on supplied project deck&amp;RPage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2026-10-25T18:26:05Z</dcterms:created>
  <dcterms:modified xmlns:dcterms="http://purl.org/dc/terms/" xmlns:xsi="http://www.w3.org/2001/XMLSchema-instance" xsi:type="dcterms:W3CDTF">2026-10-25T18:27:28Z</dcterms:modified>
</cp:coreProperties>
</file>